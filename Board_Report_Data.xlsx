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15-MiniProject\02_Automated Board Commentary with LLM\"/>
    </mc:Choice>
  </mc:AlternateContent>
  <xr:revisionPtr revIDLastSave="0" documentId="13_ncr:1_{C0A20528-2F21-467A-81D6-EFED787375F8}" xr6:coauthVersionLast="43" xr6:coauthVersionMax="43" xr10:uidLastSave="{00000000-0000-0000-0000-000000000000}"/>
  <bookViews>
    <workbookView xWindow="-108" yWindow="-108" windowWidth="23256" windowHeight="12456" xr2:uid="{21FA0661-B7EE-4D3F-BD26-BCA38F6D3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2" i="1" l="1"/>
  <c r="E19" i="1"/>
  <c r="E17" i="1"/>
  <c r="E16" i="1"/>
  <c r="E10" i="1"/>
  <c r="E9" i="1"/>
  <c r="E5" i="1"/>
  <c r="E21" i="1"/>
  <c r="E20" i="1"/>
  <c r="E18" i="1"/>
  <c r="E15" i="1"/>
  <c r="E14" i="1"/>
  <c r="E13" i="1"/>
  <c r="E12" i="1"/>
  <c r="E11" i="1"/>
  <c r="E8" i="1"/>
  <c r="E7" i="1"/>
  <c r="E6" i="1"/>
  <c r="E4" i="1"/>
  <c r="E3" i="1"/>
  <c r="E2" i="1"/>
  <c r="D21" i="1"/>
  <c r="D20" i="1"/>
  <c r="D18" i="1"/>
  <c r="D15" i="1"/>
  <c r="D14" i="1"/>
  <c r="D13" i="1"/>
  <c r="D12" i="1"/>
  <c r="D11" i="1"/>
  <c r="D8" i="1"/>
  <c r="D9" i="1" s="1"/>
  <c r="D7" i="1"/>
  <c r="D6" i="1"/>
  <c r="D4" i="1"/>
  <c r="D3" i="1"/>
  <c r="D2" i="1"/>
  <c r="D5" i="1" s="1"/>
  <c r="C22" i="1"/>
  <c r="B22" i="1"/>
  <c r="C19" i="1"/>
  <c r="B19" i="1"/>
  <c r="C17" i="1"/>
  <c r="B17" i="1"/>
  <c r="C16" i="1"/>
  <c r="D16" i="1"/>
  <c r="B16" i="1"/>
  <c r="C10" i="1"/>
  <c r="B10" i="1"/>
  <c r="C9" i="1"/>
  <c r="B9" i="1"/>
  <c r="C5" i="1"/>
  <c r="B5" i="1"/>
  <c r="D10" i="1" l="1"/>
  <c r="D17" i="1" s="1"/>
  <c r="D19" i="1" s="1"/>
  <c r="D22" i="1" s="1"/>
</calcChain>
</file>

<file path=xl/sharedStrings.xml><?xml version="1.0" encoding="utf-8"?>
<sst xmlns="http://schemas.openxmlformats.org/spreadsheetml/2006/main" count="130" uniqueCount="26">
  <si>
    <t>Line Item</t>
  </si>
  <si>
    <t>Actual (THB)</t>
  </si>
  <si>
    <t>Budget (THB)</t>
  </si>
  <si>
    <t>Variance (THB)</t>
  </si>
  <si>
    <t>Variance (%)</t>
  </si>
  <si>
    <t>Revenue: Vitamins &amp; Supplements</t>
  </si>
  <si>
    <t>Revenue: Weight Management</t>
  </si>
  <si>
    <t>Revenue: Anti-Aging &amp; Skincare</t>
  </si>
  <si>
    <t>Total Revenue</t>
  </si>
  <si>
    <t>COGS: Product Costs</t>
  </si>
  <si>
    <t>COGS: Inbound Freight</t>
  </si>
  <si>
    <t>COGS: Inventory Write-offs (Expiry)</t>
  </si>
  <si>
    <t>Total COGS</t>
  </si>
  <si>
    <t>Gross Profit</t>
  </si>
  <si>
    <t>SG&amp;A: Digital &amp; Influencer Marketing</t>
  </si>
  <si>
    <t>SG&amp;A: Sales Commissions</t>
  </si>
  <si>
    <t>SG&amp;A: Clinic Rent &amp; Utilities</t>
  </si>
  <si>
    <t>SG&amp;A: Staff Salaries (Medical &amp; Admin)</t>
  </si>
  <si>
    <t>SG&amp;A: Software &amp; IT</t>
  </si>
  <si>
    <t>Total SG&amp;A</t>
  </si>
  <si>
    <t>EBITDA</t>
  </si>
  <si>
    <t>Depreciation &amp; Amortization</t>
  </si>
  <si>
    <t>EBIT</t>
  </si>
  <si>
    <t>Interest Expense</t>
  </si>
  <si>
    <t>Tax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</si>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</sst>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vertical="center" readingOrder="1"/>
    </xf>
    <xf numFmtId="3" fontId="1" fillId="0" borderId="1" xfId="0" applyNumberFormat="1" applyFont="1" applyBorder="1" applyAlignment="1">
      <alignment vertical="center" readingOrder="1"/>
    </xf>
    <xf numFmtId="10" fontId="1" fillId="0" borderId="1" xfId="0" applyNumberFormat="1" applyFont="1" applyBorder="1" applyAlignment="1">
      <alignment vertical="center" readingOrder="1"/>
    </xf>
    <xf numFmtId="3" fontId="2" fillId="0" borderId="1" xfId="0" applyNumberFormat="1" applyFont="1" applyBorder="1" applyAlignment="1">
      <alignment vertical="center" readingOrder="1"/>
    </xf>
    <xf numFmtId="10" fontId="2" fillId="0" borderId="1" xfId="0" applyNumberFormat="1" applyFont="1" applyBorder="1" applyAlignment="1">
      <alignment vertical="center" readingOrder="1"/>
    </xf>
    <xf numFmtId="0" fontId="2" fillId="2" borderId="1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C85A-3539-4E98-AA3F-082997013B79}">
  <dimension ref="A1:E22"/>
  <sheetViews>
    <sheetView tabSelected="1" workbookViewId="0">
      <selection activeCell="J3" sqref="J3"/>
    </sheetView>
  </sheetViews>
  <sheetFormatPr defaultRowHeight="13.8" x14ac:dyDescent="0.25"/>
  <cols>
    <col min="1" max="1" width="33" bestFit="1" customWidth="1"/>
    <col min="2" max="2" width="11.796875" bestFit="1" customWidth="1"/>
    <col min="3" max="3" width="12.59765625" bestFit="1" customWidth="1"/>
    <col min="4" max="4" width="14.09765625" bestFit="1" customWidth="1"/>
    <col min="5" max="5" width="12" bestFit="1" customWidth="1"/>
  </cols>
  <sheetData>
    <row r="1" spans="1:5" ht="14.4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4.4" thickBot="1" x14ac:dyDescent="0.3">
      <c r="A2" s="2" t="s">
        <v>5</v>
      </c>
      <c r="B2" s="3">
        <v>4500000</v>
      </c>
      <c r="C2" s="3">
        <v>4200000</v>
      </c>
      <c r="D2" s="3">
        <f>B2-C2</f>
        <v>300000</v>
      </c>
      <c r="E2" s="4">
        <f>D2/C2</f>
        <v>7.1428571428571425E-2</v>
      </c>
    </row>
    <row r="3" spans="1:5" ht="14.4" thickBot="1" x14ac:dyDescent="0.3">
      <c r="A3" s="2" t="s">
        <v>6</v>
      </c>
      <c r="B3" s="3">
        <v>3800000</v>
      </c>
      <c r="C3" s="3">
        <v>3000000</v>
      </c>
      <c r="D3" s="3">
        <f t="shared" ref="D3:D4" si="0">B3-C3</f>
        <v>800000</v>
      </c>
      <c r="E3" s="4">
        <f t="shared" ref="E3:E5" si="1">D3/C3</f>
        <v>0.26666666666666666</v>
      </c>
    </row>
    <row r="4" spans="1:5" ht="14.4" thickBot="1" x14ac:dyDescent="0.3">
      <c r="A4" s="2" t="s">
        <v>7</v>
      </c>
      <c r="B4" s="3">
        <v>1200000</v>
      </c>
      <c r="C4" s="3">
        <v>1500000</v>
      </c>
      <c r="D4" s="3">
        <f t="shared" si="0"/>
        <v>-300000</v>
      </c>
      <c r="E4" s="4">
        <f t="shared" si="1"/>
        <v>-0.2</v>
      </c>
    </row>
    <row r="5" spans="1:5" ht="14.4" thickBot="1" x14ac:dyDescent="0.3">
      <c r="A5" s="1" t="s">
        <v>8</v>
      </c>
      <c r="B5" s="5">
        <f>SUM(B2:B4)</f>
        <v>9500000</v>
      </c>
      <c r="C5" s="5">
        <f t="shared" ref="C5:D5" si="2">SUM(C2:C4)</f>
        <v>8700000</v>
      </c>
      <c r="D5" s="5">
        <f t="shared" si="2"/>
        <v>800000</v>
      </c>
      <c r="E5" s="6">
        <f t="shared" si="1"/>
        <v>9.1954022988505746E-2</v>
      </c>
    </row>
    <row r="6" spans="1:5" ht="14.4" thickBot="1" x14ac:dyDescent="0.3">
      <c r="A6" s="2" t="s">
        <v>9</v>
      </c>
      <c r="B6" s="3">
        <v>3800000</v>
      </c>
      <c r="C6" s="3">
        <v>3480000</v>
      </c>
      <c r="D6" s="3">
        <f t="shared" ref="D6:D8" si="3">B6-C6</f>
        <v>320000</v>
      </c>
      <c r="E6" s="4">
        <f t="shared" ref="E6:E10" si="4">D6/C6</f>
        <v>9.1954022988505746E-2</v>
      </c>
    </row>
    <row r="7" spans="1:5" ht="14.4" thickBot="1" x14ac:dyDescent="0.3">
      <c r="A7" s="2" t="s">
        <v>10</v>
      </c>
      <c r="B7" s="3">
        <v>250000</v>
      </c>
      <c r="C7" s="3">
        <v>150000</v>
      </c>
      <c r="D7" s="3">
        <f t="shared" si="3"/>
        <v>100000</v>
      </c>
      <c r="E7" s="4">
        <f t="shared" si="4"/>
        <v>0.66666666666666663</v>
      </c>
    </row>
    <row r="8" spans="1:5" ht="14.4" thickBot="1" x14ac:dyDescent="0.3">
      <c r="A8" s="2" t="s">
        <v>11</v>
      </c>
      <c r="B8" s="3">
        <v>180000</v>
      </c>
      <c r="C8" s="3">
        <v>50000</v>
      </c>
      <c r="D8" s="3">
        <f t="shared" si="3"/>
        <v>130000</v>
      </c>
      <c r="E8" s="4">
        <f t="shared" si="4"/>
        <v>2.6</v>
      </c>
    </row>
    <row r="9" spans="1:5" ht="14.4" thickBot="1" x14ac:dyDescent="0.3">
      <c r="A9" s="1" t="s">
        <v>12</v>
      </c>
      <c r="B9" s="5">
        <f>SUM(B6:B8)</f>
        <v>4230000</v>
      </c>
      <c r="C9" s="5">
        <f t="shared" ref="C9:D9" si="5">SUM(C6:C8)</f>
        <v>3680000</v>
      </c>
      <c r="D9" s="5">
        <f t="shared" si="5"/>
        <v>550000</v>
      </c>
      <c r="E9" s="6">
        <f t="shared" si="4"/>
        <v>0.14945652173913043</v>
      </c>
    </row>
    <row r="10" spans="1:5" ht="14.4" thickBot="1" x14ac:dyDescent="0.3">
      <c r="A10" s="1" t="s">
        <v>13</v>
      </c>
      <c r="B10" s="5">
        <f>B5-B9</f>
        <v>5270000</v>
      </c>
      <c r="C10" s="5">
        <f t="shared" ref="C10:D10" si="6">C5-C9</f>
        <v>5020000</v>
      </c>
      <c r="D10" s="5">
        <f t="shared" si="6"/>
        <v>250000</v>
      </c>
      <c r="E10" s="6">
        <f t="shared" si="4"/>
        <v>4.9800796812749001E-2</v>
      </c>
    </row>
    <row r="11" spans="1:5" ht="14.4" thickBot="1" x14ac:dyDescent="0.3">
      <c r="A11" s="2" t="s">
        <v>14</v>
      </c>
      <c r="B11" s="3">
        <v>1500000</v>
      </c>
      <c r="C11" s="3">
        <v>900000</v>
      </c>
      <c r="D11" s="3">
        <f t="shared" ref="D11:D15" si="7">B11-C11</f>
        <v>600000</v>
      </c>
      <c r="E11" s="4">
        <f t="shared" ref="E11:E17" si="8">D11/C11</f>
        <v>0.66666666666666663</v>
      </c>
    </row>
    <row r="12" spans="1:5" ht="14.4" thickBot="1" x14ac:dyDescent="0.3">
      <c r="A12" s="2" t="s">
        <v>15</v>
      </c>
      <c r="B12" s="3">
        <v>475000</v>
      </c>
      <c r="C12" s="3">
        <v>435000</v>
      </c>
      <c r="D12" s="3">
        <f t="shared" si="7"/>
        <v>40000</v>
      </c>
      <c r="E12" s="4">
        <f t="shared" si="8"/>
        <v>9.1954022988505746E-2</v>
      </c>
    </row>
    <row r="13" spans="1:5" ht="14.4" thickBot="1" x14ac:dyDescent="0.3">
      <c r="A13" s="2" t="s">
        <v>16</v>
      </c>
      <c r="B13" s="3">
        <v>350000</v>
      </c>
      <c r="C13" s="3">
        <v>350000</v>
      </c>
      <c r="D13" s="3">
        <f t="shared" si="7"/>
        <v>0</v>
      </c>
      <c r="E13" s="4">
        <f t="shared" si="8"/>
        <v>0</v>
      </c>
    </row>
    <row r="14" spans="1:5" ht="14.4" thickBot="1" x14ac:dyDescent="0.3">
      <c r="A14" s="2" t="s">
        <v>17</v>
      </c>
      <c r="B14" s="3">
        <v>1200000</v>
      </c>
      <c r="C14" s="3">
        <v>1200000</v>
      </c>
      <c r="D14" s="3">
        <f t="shared" si="7"/>
        <v>0</v>
      </c>
      <c r="E14" s="4">
        <f t="shared" si="8"/>
        <v>0</v>
      </c>
    </row>
    <row r="15" spans="1:5" ht="14.4" thickBot="1" x14ac:dyDescent="0.3">
      <c r="A15" s="2" t="s">
        <v>18</v>
      </c>
      <c r="B15" s="3">
        <v>80000</v>
      </c>
      <c r="C15" s="3">
        <v>70000</v>
      </c>
      <c r="D15" s="3">
        <f t="shared" si="7"/>
        <v>10000</v>
      </c>
      <c r="E15" s="4">
        <f t="shared" si="8"/>
        <v>0.14285714285714285</v>
      </c>
    </row>
    <row r="16" spans="1:5" ht="14.4" thickBot="1" x14ac:dyDescent="0.3">
      <c r="A16" s="1" t="s">
        <v>19</v>
      </c>
      <c r="B16" s="5">
        <f>SUM(B11:B15)</f>
        <v>3605000</v>
      </c>
      <c r="C16" s="5">
        <f t="shared" ref="C16:D16" si="9">SUM(C11:C15)</f>
        <v>2955000</v>
      </c>
      <c r="D16" s="5">
        <f t="shared" si="9"/>
        <v>650000</v>
      </c>
      <c r="E16" s="6">
        <f t="shared" si="8"/>
        <v>0.21996615905245348</v>
      </c>
    </row>
    <row r="17" spans="1:5" ht="14.4" thickBot="1" x14ac:dyDescent="0.3">
      <c r="A17" s="1" t="s">
        <v>20</v>
      </c>
      <c r="B17" s="5">
        <f>B10-B16</f>
        <v>1665000</v>
      </c>
      <c r="C17" s="5">
        <f t="shared" ref="C17:D17" si="10">C10-C16</f>
        <v>2065000</v>
      </c>
      <c r="D17" s="5">
        <f t="shared" si="10"/>
        <v>-400000</v>
      </c>
      <c r="E17" s="6">
        <f t="shared" si="8"/>
        <v>-0.1937046004842615</v>
      </c>
    </row>
    <row r="18" spans="1:5" ht="14.4" thickBot="1" x14ac:dyDescent="0.3">
      <c r="A18" s="2" t="s">
        <v>21</v>
      </c>
      <c r="B18" s="3">
        <v>150000</v>
      </c>
      <c r="C18" s="3">
        <v>150000</v>
      </c>
      <c r="D18" s="3">
        <f>B18-C18</f>
        <v>0</v>
      </c>
      <c r="E18" s="4">
        <f>D18/C18</f>
        <v>0</v>
      </c>
    </row>
    <row r="19" spans="1:5" ht="14.4" thickBot="1" x14ac:dyDescent="0.3">
      <c r="A19" s="1" t="s">
        <v>22</v>
      </c>
      <c r="B19" s="5">
        <f>B17-B18</f>
        <v>1515000</v>
      </c>
      <c r="C19" s="5">
        <f t="shared" ref="C19:D19" si="11">C17-C18</f>
        <v>1915000</v>
      </c>
      <c r="D19" s="5">
        <f t="shared" si="11"/>
        <v>-400000</v>
      </c>
      <c r="E19" s="6">
        <f t="shared" ref="E19" si="12">D19/C19</f>
        <v>-0.20887728459530025</v>
      </c>
    </row>
    <row r="20" spans="1:5" ht="14.4" thickBot="1" x14ac:dyDescent="0.3">
      <c r="A20" s="2" t="s">
        <v>23</v>
      </c>
      <c r="B20" s="3">
        <v>65000</v>
      </c>
      <c r="C20" s="3">
        <v>70000</v>
      </c>
      <c r="D20" s="3">
        <f t="shared" ref="D20:D21" si="13">B20-C20</f>
        <v>-5000</v>
      </c>
      <c r="E20" s="4">
        <f t="shared" ref="E20:E22" si="14">D20/C20</f>
        <v>-7.1428571428571425E-2</v>
      </c>
    </row>
    <row r="21" spans="1:5" ht="14.4" thickBot="1" x14ac:dyDescent="0.3">
      <c r="A21" s="2" t="s">
        <v>24</v>
      </c>
      <c r="B21" s="3">
        <v>290000</v>
      </c>
      <c r="C21" s="3">
        <v>369000</v>
      </c>
      <c r="D21" s="3">
        <f t="shared" si="13"/>
        <v>-79000</v>
      </c>
      <c r="E21" s="4">
        <f t="shared" si="14"/>
        <v>-0.21409214092140921</v>
      </c>
    </row>
    <row r="22" spans="1:5" ht="14.4" thickBot="1" x14ac:dyDescent="0.3">
      <c r="A22" s="1" t="s">
        <v>25</v>
      </c>
      <c r="B22" s="5">
        <f>B19-B20-B21</f>
        <v>1160000</v>
      </c>
      <c r="C22" s="5">
        <f t="shared" ref="C22:D22" si="15">C19-C20-C21</f>
        <v>1476000</v>
      </c>
      <c r="D22" s="5">
        <f t="shared" si="15"/>
        <v>-316000</v>
      </c>
      <c r="E22" s="6">
        <f t="shared" si="14"/>
        <v>-0.21409214092140921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2026-09-14T15:17:41Z</dcterms:created>
  <dcterms:modified xsi:type="dcterms:W3CDTF">2026-09-14T15:22:45Z</dcterms:modified>
</cp:coreProperties>
</file>